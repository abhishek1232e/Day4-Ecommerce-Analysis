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4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Ecommerce_Data" sheetId="1" r:id="rId6"/>
    <sheet name="Dashboard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<sst xmlns="http://schemas.openxmlformats.org/spreadsheetml/2006/main" count="186" uniqueCount="81">
  <si>
    <t>Product</t>
  </si>
  <si>
    <t>Sum of Revenue</t>
  </si>
  <si>
    <t>Laptop</t>
  </si>
  <si>
    <t>Phone</t>
  </si>
  <si>
    <t>Chair</t>
  </si>
  <si>
    <t>Desk</t>
  </si>
  <si>
    <t>Mouse</t>
  </si>
  <si>
    <t>Shirt</t>
  </si>
  <si>
    <t>T-Shirt</t>
  </si>
  <si>
    <t>Grand Total</t>
  </si>
  <si>
    <t>Category</t>
  </si>
  <si>
    <t>Furniture</t>
  </si>
  <si>
    <t>Electronics</t>
  </si>
  <si>
    <t>Clothing</t>
  </si>
  <si>
    <t>Average of Profit Margin</t>
  </si>
  <si>
    <t>Customer</t>
  </si>
  <si>
    <t>Rajesh</t>
  </si>
  <si>
    <t>Lakshmi</t>
  </si>
  <si>
    <t>Karthik</t>
  </si>
  <si>
    <t>Arjun</t>
  </si>
  <si>
    <t>Ankit</t>
  </si>
  <si>
    <t>City</t>
  </si>
  <si>
    <t>Pune</t>
  </si>
  <si>
    <t>Mumbai</t>
  </si>
  <si>
    <t>Lucknow</t>
  </si>
  <si>
    <t>Jaipur</t>
  </si>
  <si>
    <t>Hyderabad</t>
  </si>
  <si>
    <t>Delhi</t>
  </si>
  <si>
    <t>Chennai</t>
  </si>
  <si>
    <t>Bangalore</t>
  </si>
  <si>
    <t>Ahmedabad</t>
  </si>
  <si>
    <t>Order ID</t>
  </si>
  <si>
    <t>Month</t>
  </si>
  <si>
    <t>Quantity</t>
  </si>
  <si>
    <t>Price</t>
  </si>
  <si>
    <t>Revenue</t>
  </si>
  <si>
    <t>Cost</t>
  </si>
  <si>
    <t>Profit</t>
  </si>
  <si>
    <t>Profit Margin</t>
  </si>
  <si>
    <t>ORD001</t>
  </si>
  <si>
    <t>jan</t>
  </si>
  <si>
    <t>ORD002</t>
  </si>
  <si>
    <t>Priya</t>
  </si>
  <si>
    <t>ORD003</t>
  </si>
  <si>
    <t>Amit</t>
  </si>
  <si>
    <t>ORD004</t>
  </si>
  <si>
    <t>Neha</t>
  </si>
  <si>
    <t>ORD005</t>
  </si>
  <si>
    <t>Vikram</t>
  </si>
  <si>
    <t>ORD006</t>
  </si>
  <si>
    <t>Deepa</t>
  </si>
  <si>
    <t>ORD007</t>
  </si>
  <si>
    <t>Rohan</t>
  </si>
  <si>
    <t>ORD008</t>
  </si>
  <si>
    <t>Sneha</t>
  </si>
  <si>
    <t>ORD009</t>
  </si>
  <si>
    <t>ORD010</t>
  </si>
  <si>
    <t>Pooja</t>
  </si>
  <si>
    <t>ORD011</t>
  </si>
  <si>
    <t>ORD012</t>
  </si>
  <si>
    <t>Divya</t>
  </si>
  <si>
    <t>ORD013</t>
  </si>
  <si>
    <t>Sunil</t>
  </si>
  <si>
    <t>ORD014</t>
  </si>
  <si>
    <t>Anjali</t>
  </si>
  <si>
    <t>ORD015</t>
  </si>
  <si>
    <t>Vikas</t>
  </si>
  <si>
    <t>ORD016</t>
  </si>
  <si>
    <t>Meera</t>
  </si>
  <si>
    <t>ORD017</t>
  </si>
  <si>
    <t>ORD018</t>
  </si>
  <si>
    <t>Farhan</t>
  </si>
  <si>
    <t>ORD019</t>
  </si>
  <si>
    <t>Geeta</t>
  </si>
  <si>
    <t>ORD020</t>
  </si>
  <si>
    <t>TOTAL REVENUE</t>
  </si>
  <si>
    <t>TOTAL PROFIT</t>
  </si>
  <si>
    <t>AVG PROFIT MARGIN</t>
  </si>
  <si>
    <t>TOTAL ORDERS</t>
  </si>
  <si>
    <t>TOP PRODUCT</t>
  </si>
  <si>
    <t>TOP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</si>
</sst>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36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4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/>
    <dxf/>
    <dxf/>
    <dxf/>
    <dxf/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/>
    <dxf/>
    <dxf/>
    <dxf/>
    <dxf/>
    <dxf/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firstColumnStripe" dxfId="67"/>
    </tableStyle>
    <tableStyle name="PivotStylePreset2_Accent1" table="0" count="10" xr9:uid="{267968C8-6FFD-4C36-ACC1-9EA1FD1885CA}">
      <tableStyleElement type="headerRow" dxfId="83"/>
      <tableStyleElement type="totalRow" dxfId="82"/>
      <tableStyleElement type="firstRowStripe" dxfId="81"/>
      <tableStyleElement type="firstColumnStripe" dxfId="80"/>
      <tableStyleElement type="firstSubtotalRow" dxfId="79"/>
      <tableStyleElement type="secondSubtotalRow" dxfId="78"/>
      <tableStyleElement type="firstRowSubheading" dxfId="77"/>
      <tableStyleElement type="secondRowSubheading" dxfId="76"/>
      <tableStyleElement type="pageFieldLabels" dxfId="75"/>
      <tableStyleElement type="pageFieldValues" dxfId="7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[Ecommerce_Data.xlsx]Sheet2!PivotTable1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Mouse</c:v>
                </c:pt>
                <c:pt idx="5">
                  <c:v>Shirt</c:v>
                </c:pt>
                <c:pt idx="6">
                  <c:v>T-Shirt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400000</c:v>
                </c:pt>
                <c:pt idx="1">
                  <c:v>225000</c:v>
                </c:pt>
                <c:pt idx="2">
                  <c:v>96000</c:v>
                </c:pt>
                <c:pt idx="3">
                  <c:v>45000</c:v>
                </c:pt>
                <c:pt idx="4">
                  <c:v>38000</c:v>
                </c:pt>
                <c:pt idx="5">
                  <c:v>16200</c:v>
                </c:pt>
                <c:pt idx="6">
                  <c:v>15000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64500766"/>
        <c:axId val="823516102"/>
      </c:barChart>
      <c:catAx>
        <c:axId val="3645007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23516102"/>
        <c:crosses val="autoZero"/>
        <c:auto val="1"/>
        <c:lblAlgn val="ctr"/>
        <c:lblOffset val="100"/>
        <c:noMultiLvlLbl val="0"/>
      </c:catAx>
      <c:valAx>
        <c:axId val="82351610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645007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66c71b-a724-4955-9c9f-1e1d1c89e3b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>
        <c:manualLayout>
          <c:xMode val="edge"/>
          <c:yMode val="edge"/>
          <c:x val="0.330657894736842"/>
          <c:y val="0.044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141000</c:v>
                </c:pt>
                <c:pt idx="1">
                  <c:v>663000</c:v>
                </c:pt>
                <c:pt idx="2">
                  <c:v>31200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76986-251e-4114-9eab-3dd020d580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Profit Margin by Product</a:t>
            </a:r>
            <a:endParaRPr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04276315789474"/>
          <c:y val="0.0361111111111111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lt1"/>
          </a:solidFill>
          <a:prstDash val="solid"/>
          <a:miter lim="800000"/>
        </a:ln>
        <a:effectLst>
          <a:outerShdw blurRad="101600" dist="50800" dir="5400000" algn="ctr" rotWithShape="0">
            <a:schemeClr val="accent1">
              <a:alpha val="60000"/>
            </a:schemeClr>
          </a:outerShdw>
        </a:effectLst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Mouse</c:v>
                </c:pt>
                <c:pt idx="4">
                  <c:v>Phone</c:v>
                </c:pt>
                <c:pt idx="5">
                  <c:v>Shirt</c:v>
                </c:pt>
                <c:pt idx="6">
                  <c:v>T-Shirt</c:v>
                </c:pt>
              </c:strCache>
            </c:strRef>
          </c:cat>
          <c:val>
            <c:numRef>
              <c:f>Sheet4!$B$4:$B$11</c:f>
              <c:numCache>
                <c:formatCode>0.00%</c:formatCode>
                <c:ptCount val="7"/>
                <c:pt idx="0">
                  <c:v>0.375</c:v>
                </c:pt>
                <c:pt idx="1">
                  <c:v>0.333333333333333</c:v>
                </c:pt>
                <c:pt idx="2">
                  <c:v>0.3</c:v>
                </c:pt>
                <c:pt idx="3">
                  <c:v>0.4</c:v>
                </c:pt>
                <c:pt idx="4">
                  <c:v>0.311111111111111</c:v>
                </c:pt>
                <c:pt idx="5">
                  <c:v>0.444444444444444</c:v>
                </c:pt>
                <c:pt idx="6">
                  <c:v>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5438488"/>
        <c:axId val="206929514"/>
      </c:barChart>
      <c:catAx>
        <c:axId val="6754384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929514"/>
        <c:crosses val="autoZero"/>
        <c:auto val="1"/>
        <c:lblAlgn val="ctr"/>
        <c:lblOffset val="100"/>
        <c:noMultiLvlLbl val="0"/>
      </c:catAx>
      <c:valAx>
        <c:axId val="2069295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43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9421e9-739b-4e16-9ec1-41c45c6fae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[Ecommerce_Data.xlsx]Sheet5!PivotTable4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Rajesh</c:v>
                </c:pt>
                <c:pt idx="1">
                  <c:v>Lakshmi</c:v>
                </c:pt>
                <c:pt idx="2">
                  <c:v>Karthik</c:v>
                </c:pt>
                <c:pt idx="3">
                  <c:v>Arjun</c:v>
                </c:pt>
                <c:pt idx="4">
                  <c:v>Ankit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150000</c:v>
                </c:pt>
                <c:pt idx="4">
                  <c:v>75000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14597751"/>
        <c:axId val="512005974"/>
      </c:barChart>
      <c:catAx>
        <c:axId val="714597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005974"/>
        <c:crosses val="autoZero"/>
        <c:auto val="1"/>
        <c:lblAlgn val="ctr"/>
        <c:lblOffset val="100"/>
        <c:noMultiLvlLbl val="0"/>
      </c:catAx>
      <c:valAx>
        <c:axId val="512005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59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f74fbb-306b-4aa9-b9fd-9e2e3c5185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[Ecommerce_Data.xlsx]Sheet6!PivotTable5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Sheet6!$A$4:$A$13</c:f>
              <c:strCache>
                <c:ptCount val="9"/>
                <c:pt idx="0">
                  <c:v>Pune</c:v>
                </c:pt>
                <c:pt idx="1">
                  <c:v>Mumbai</c:v>
                </c:pt>
                <c:pt idx="2">
                  <c:v>Lucknow</c:v>
                </c:pt>
                <c:pt idx="3">
                  <c:v>Jaipur</c:v>
                </c:pt>
                <c:pt idx="4">
                  <c:v>Hyderabad</c:v>
                </c:pt>
                <c:pt idx="5">
                  <c:v>Delhi</c:v>
                </c:pt>
                <c:pt idx="6">
                  <c:v>Chennai</c:v>
                </c:pt>
                <c:pt idx="7">
                  <c:v>Bangalore</c:v>
                </c:pt>
                <c:pt idx="8">
                  <c:v>Ahmedabad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100000</c:v>
                </c:pt>
                <c:pt idx="1">
                  <c:v>172000</c:v>
                </c:pt>
                <c:pt idx="2">
                  <c:v>90000</c:v>
                </c:pt>
                <c:pt idx="3">
                  <c:v>159000</c:v>
                </c:pt>
                <c:pt idx="4">
                  <c:v>23000</c:v>
                </c:pt>
                <c:pt idx="5">
                  <c:v>205000</c:v>
                </c:pt>
                <c:pt idx="6">
                  <c:v>15000</c:v>
                </c:pt>
                <c:pt idx="7">
                  <c:v>34000</c:v>
                </c:pt>
                <c:pt idx="8">
                  <c:v>37200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39612647"/>
        <c:axId val="925095967"/>
      </c:barChart>
      <c:catAx>
        <c:axId val="239612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095967"/>
        <c:crosses val="autoZero"/>
        <c:auto val="1"/>
        <c:lblAlgn val="ctr"/>
        <c:lblOffset val="100"/>
        <c:noMultiLvlLbl val="0"/>
      </c:catAx>
      <c:valAx>
        <c:axId val="92509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61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8d14e1-b284-4aff-bdde-2b07c1615a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[Ecommerce_Data.xlsx]Sheet2!PivotTable1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9814906627"/>
          <c:y val="0.00668449197860963"/>
          <c:w val="0.787539249710792"/>
          <c:h val="0.714438502673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Mouse</c:v>
                </c:pt>
                <c:pt idx="5">
                  <c:v>Shirt</c:v>
                </c:pt>
                <c:pt idx="6">
                  <c:v>T-Shirt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400000</c:v>
                </c:pt>
                <c:pt idx="1">
                  <c:v>225000</c:v>
                </c:pt>
                <c:pt idx="2">
                  <c:v>96000</c:v>
                </c:pt>
                <c:pt idx="3">
                  <c:v>45000</c:v>
                </c:pt>
                <c:pt idx="4">
                  <c:v>38000</c:v>
                </c:pt>
                <c:pt idx="5">
                  <c:v>16200</c:v>
                </c:pt>
                <c:pt idx="6">
                  <c:v>15000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64500766"/>
        <c:axId val="823516102"/>
      </c:barChart>
      <c:catAx>
        <c:axId val="3645007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23516102"/>
        <c:crosses val="autoZero"/>
        <c:auto val="1"/>
        <c:lblAlgn val="ctr"/>
        <c:lblOffset val="100"/>
        <c:noMultiLvlLbl val="0"/>
      </c:catAx>
      <c:valAx>
        <c:axId val="82351610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645007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cdfd42-a974-4874-a639-a41cfee3c36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>
        <c:manualLayout>
          <c:xMode val="edge"/>
          <c:yMode val="edge"/>
          <c:x val="0.367187575102139"/>
          <c:y val="0.0409377232287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1548504379441"/>
          <c:y val="0.25091335016214"/>
          <c:w val="0.297259957031896"/>
          <c:h val="0.528879741252573"/>
        </c:manualLayout>
      </c:layout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141000</c:v>
                </c:pt>
                <c:pt idx="1">
                  <c:v>663000</c:v>
                </c:pt>
                <c:pt idx="2">
                  <c:v>31200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493698274389"/>
          <c:y val="0.3639784303713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0b475b-6564-42b9-bf07-dd2c3cd12f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Profit Margin by Product</a:t>
            </a:r>
            <a:endParaRPr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04276315789474"/>
          <c:y val="0.0361111111111111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lt1"/>
          </a:solidFill>
          <a:prstDash val="solid"/>
          <a:miter lim="800000"/>
        </a:ln>
        <a:effectLst>
          <a:outerShdw blurRad="101600" dist="50800" dir="5400000" algn="ctr" rotWithShape="0">
            <a:schemeClr val="accent1">
              <a:alpha val="60000"/>
            </a:schemeClr>
          </a:outerShdw>
        </a:effectLst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Mouse</c:v>
                </c:pt>
                <c:pt idx="4">
                  <c:v>Phone</c:v>
                </c:pt>
                <c:pt idx="5">
                  <c:v>Shirt</c:v>
                </c:pt>
                <c:pt idx="6">
                  <c:v>T-Shirt</c:v>
                </c:pt>
              </c:strCache>
            </c:strRef>
          </c:cat>
          <c:val>
            <c:numRef>
              <c:f>Sheet4!$B$4:$B$11</c:f>
              <c:numCache>
                <c:formatCode>0.00%</c:formatCode>
                <c:ptCount val="7"/>
                <c:pt idx="0">
                  <c:v>0.375</c:v>
                </c:pt>
                <c:pt idx="1">
                  <c:v>0.333333333333333</c:v>
                </c:pt>
                <c:pt idx="2">
                  <c:v>0.3</c:v>
                </c:pt>
                <c:pt idx="3">
                  <c:v>0.4</c:v>
                </c:pt>
                <c:pt idx="4">
                  <c:v>0.311111111111111</c:v>
                </c:pt>
                <c:pt idx="5">
                  <c:v>0.444444444444444</c:v>
                </c:pt>
                <c:pt idx="6">
                  <c:v>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5438488"/>
        <c:axId val="206929514"/>
      </c:barChart>
      <c:catAx>
        <c:axId val="6754384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929514"/>
        <c:crosses val="autoZero"/>
        <c:auto val="1"/>
        <c:lblAlgn val="ctr"/>
        <c:lblOffset val="100"/>
        <c:noMultiLvlLbl val="0"/>
      </c:catAx>
      <c:valAx>
        <c:axId val="2069295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43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7db6c4-8fbb-402c-ab0f-cdb7e7766d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[Ecommerce_Data.xlsx]Sheet5!PivotTable4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47115384615385"/>
          <c:y val="0.218191964285714"/>
          <c:w val="0.781778846153846"/>
          <c:h val="0.625632440476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Rajesh</c:v>
                </c:pt>
                <c:pt idx="1">
                  <c:v>Lakshmi</c:v>
                </c:pt>
                <c:pt idx="2">
                  <c:v>Karthik</c:v>
                </c:pt>
                <c:pt idx="3">
                  <c:v>Arjun</c:v>
                </c:pt>
                <c:pt idx="4">
                  <c:v>Ankit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150000</c:v>
                </c:pt>
                <c:pt idx="4">
                  <c:v>75000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14597751"/>
        <c:axId val="512005974"/>
      </c:barChart>
      <c:catAx>
        <c:axId val="714597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005974"/>
        <c:crosses val="autoZero"/>
        <c:auto val="1"/>
        <c:lblAlgn val="ctr"/>
        <c:lblOffset val="100"/>
        <c:noMultiLvlLbl val="0"/>
      </c:catAx>
      <c:valAx>
        <c:axId val="512005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59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1c2bc8-4e70-4388-b872-ba25c2d1fe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119380</xdr:colOff>
      <xdr:row>1</xdr:row>
      <xdr:rowOff>111760</xdr:rowOff>
    </xdr:from>
    <xdr:to>
      <xdr:col>13</xdr:col>
      <xdr:colOff>159385</xdr:colOff>
      <xdr:row>17</xdr:row>
      <xdr:rowOff>27940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2207260" y="294640"/>
        <a:ext cx="6745605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76200</xdr:colOff>
      <xdr:row>2</xdr:row>
      <xdr:rowOff>0</xdr:rowOff>
    </xdr:from>
    <xdr:to>
      <xdr:col>10</xdr:col>
      <xdr:colOff>192405</xdr:colOff>
      <xdr:row>20</xdr:row>
      <xdr:rowOff>159385</xdr:rowOff>
    </xdr:to>
    <xdr:graphicFrame>
      <xdr:nvGraphicFramePr>
        <xdr:cNvPr id="7" name="Chart 6"/>
        <xdr:cNvGraphicFramePr/>
      </xdr:nvGraphicFramePr>
      <xdr:xfrm>
        <a:off x="1981200" y="365760"/>
        <a:ext cx="4993005" cy="3451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60960</xdr:colOff>
      <xdr:row>1</xdr:row>
      <xdr:rowOff>175260</xdr:rowOff>
    </xdr:from>
    <xdr:to>
      <xdr:col>12</xdr:col>
      <xdr:colOff>268605</xdr:colOff>
      <xdr:row>18</xdr:row>
      <xdr:rowOff>167005</xdr:rowOff>
    </xdr:to>
    <xdr:graphicFrame>
      <xdr:nvGraphicFramePr>
        <xdr:cNvPr id="4" name="Chart 3"/>
        <xdr:cNvGraphicFramePr/>
      </xdr:nvGraphicFramePr>
      <xdr:xfrm>
        <a:off x="2499360" y="358140"/>
        <a:ext cx="6303645" cy="310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99060</xdr:colOff>
      <xdr:row>2</xdr:row>
      <xdr:rowOff>22860</xdr:rowOff>
    </xdr:from>
    <xdr:to>
      <xdr:col>11</xdr:col>
      <xdr:colOff>246380</xdr:colOff>
      <xdr:row>22</xdr:row>
      <xdr:rowOff>15240</xdr:rowOff>
    </xdr:to>
    <xdr:graphicFrame>
      <xdr:nvGraphicFramePr>
        <xdr:cNvPr id="2" name="Chart 1"/>
        <xdr:cNvGraphicFramePr/>
      </xdr:nvGraphicFramePr>
      <xdr:xfrm>
        <a:off x="2011680" y="388620"/>
        <a:ext cx="5633720" cy="3649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160655</xdr:colOff>
      <xdr:row>2</xdr:row>
      <xdr:rowOff>38735</xdr:rowOff>
    </xdr:from>
    <xdr:to>
      <xdr:col>11</xdr:col>
      <xdr:colOff>254000</xdr:colOff>
      <xdr:row>22</xdr:row>
      <xdr:rowOff>15240</xdr:rowOff>
    </xdr:to>
    <xdr:graphicFrame>
      <xdr:nvGraphicFramePr>
        <xdr:cNvPr id="2" name="Chart 1"/>
        <xdr:cNvGraphicFramePr/>
      </xdr:nvGraphicFramePr>
      <xdr:xfrm>
        <a:off x="2065655" y="404495"/>
        <a:ext cx="5579745" cy="3634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48260</xdr:colOff>
      <xdr:row>0</xdr:row>
      <xdr:rowOff>60960</xdr:rowOff>
    </xdr:from>
    <xdr:to>
      <xdr:col>8</xdr:col>
      <xdr:colOff>582930</xdr:colOff>
      <xdr:row>5</xdr:row>
      <xdr:rowOff>414655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2235200" y="60960"/>
        <a:ext cx="4192270" cy="2182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0</xdr:row>
      <xdr:rowOff>90805</xdr:rowOff>
    </xdr:from>
    <xdr:to>
      <xdr:col>15</xdr:col>
      <xdr:colOff>46990</xdr:colOff>
      <xdr:row>6</xdr:row>
      <xdr:rowOff>10795</xdr:rowOff>
    </xdr:to>
    <xdr:graphicFrame>
      <xdr:nvGraphicFramePr>
        <xdr:cNvPr id="3" name="Chart 2"/>
        <xdr:cNvGraphicFramePr/>
      </xdr:nvGraphicFramePr>
      <xdr:xfrm>
        <a:off x="6461760" y="90805"/>
        <a:ext cx="3696970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</xdr:colOff>
      <xdr:row>6</xdr:row>
      <xdr:rowOff>22860</xdr:rowOff>
    </xdr:from>
    <xdr:to>
      <xdr:col>6</xdr:col>
      <xdr:colOff>246380</xdr:colOff>
      <xdr:row>20</xdr:row>
      <xdr:rowOff>53340</xdr:rowOff>
    </xdr:to>
    <xdr:graphicFrame>
      <xdr:nvGraphicFramePr>
        <xdr:cNvPr id="4" name="Chart 3"/>
        <xdr:cNvGraphicFramePr/>
      </xdr:nvGraphicFramePr>
      <xdr:xfrm>
        <a:off x="53975" y="2283460"/>
        <a:ext cx="4817745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264160</xdr:colOff>
      <xdr:row>6</xdr:row>
      <xdr:rowOff>30480</xdr:rowOff>
    </xdr:from>
    <xdr:to>
      <xdr:col>15</xdr:col>
      <xdr:colOff>60960</xdr:colOff>
      <xdr:row>20</xdr:row>
      <xdr:rowOff>83820</xdr:rowOff>
    </xdr:to>
    <xdr:graphicFrame>
      <xdr:nvGraphicFramePr>
        <xdr:cNvPr id="5" name="Chart 4"/>
        <xdr:cNvGraphicFramePr/>
      </xdr:nvGraphicFramePr>
      <xdr:xfrm>
        <a:off x="4889500" y="2291080"/>
        <a:ext cx="5283200" cy="2613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9.7305555556" refreshedBy="ADMIN" recordCount="20">
  <cacheSource type="worksheet">
    <worksheetSource ref="A1:L21" sheet="Ecommerce_Data"/>
  </cacheSource>
  <cacheFields count="12">
    <cacheField name="Order ID" numFmtId="0">
      <sharedItems count="2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</sharedItems>
    </cacheField>
    <cacheField name="Month" numFmtId="0">
      <sharedItems count="1">
        <s v="jan"/>
      </sharedItems>
    </cacheField>
    <cacheField name="Product" numFmtId="0">
      <sharedItems count="7">
        <s v="Laptop"/>
        <s v="Mouse"/>
        <s v="Chair"/>
        <s v="T-Shirt"/>
        <s v="Desk"/>
        <s v="Shirt"/>
        <s v="Phone"/>
      </sharedItems>
    </cacheField>
    <cacheField name="Category" numFmtId="0">
      <sharedItems count="3">
        <s v="Electronics"/>
        <s v="Furniture"/>
        <s v="Clothing"/>
      </sharedItems>
    </cacheField>
    <cacheField name="Quantity" numFmtId="0">
      <sharedItems containsSemiMixedTypes="0" containsString="0" containsNumber="1" containsInteger="1" minValue="0" maxValue="20" count="10">
        <n v="2"/>
        <n v="5"/>
        <n v="3"/>
        <n v="10"/>
        <n v="1"/>
        <n v="8"/>
        <n v="15"/>
        <n v="4"/>
        <n v="20"/>
        <n v="12"/>
      </sharedItems>
    </cacheField>
    <cacheField name="Price" numFmtId="0">
      <sharedItems containsSemiMixedTypes="0" containsString="0" containsNumber="1" containsInteger="1" minValue="0" maxValue="50000" count="7">
        <n v="50000"/>
        <n v="1000"/>
        <n v="8000"/>
        <n v="500"/>
        <n v="15000"/>
        <n v="600"/>
        <n v="25000"/>
      </sharedItems>
    </cacheField>
    <cacheField name="Revenue" numFmtId="0">
      <sharedItems containsSemiMixedTypes="0" containsString="0" containsNumber="1" containsInteger="1" minValue="0" maxValue="150000" count="14">
        <n v="100000"/>
        <n v="5000"/>
        <n v="24000"/>
        <n v="50000"/>
        <n v="8000"/>
        <n v="30000"/>
        <n v="9000"/>
        <n v="75000"/>
        <n v="32000"/>
        <n v="10000"/>
        <n v="15000"/>
        <n v="7200"/>
        <n v="150000"/>
        <n v="40000"/>
      </sharedItems>
    </cacheField>
    <cacheField name="Cost" numFmtId="0">
      <sharedItems containsSemiMixedTypes="0" containsString="0" containsNumber="1" containsInteger="1" minValue="0" maxValue="105000" count="14">
        <n v="70000"/>
        <n v="3000"/>
        <n v="15000"/>
        <n v="35000"/>
        <n v="4800"/>
        <n v="20000"/>
        <n v="5000"/>
        <n v="50000"/>
        <n v="6000"/>
        <n v="10000"/>
        <n v="4000"/>
        <n v="105000"/>
        <n v="9000"/>
        <n v="25000"/>
      </sharedItems>
    </cacheField>
    <cacheField name="Customer" numFmtId="0">
      <sharedItems count="20">
        <s v="Rajesh"/>
        <s v="Priya"/>
        <s v="Amit"/>
        <s v="Neha"/>
        <s v="Vikram"/>
        <s v="Deepa"/>
        <s v="Rohan"/>
        <s v="Sneha"/>
        <s v="Ankit"/>
        <s v="Pooja"/>
        <s v="Karthik"/>
        <s v="Divya"/>
        <s v="Sunil"/>
        <s v="Anjali"/>
        <s v="Vikas"/>
        <s v="Meera"/>
        <s v="Arjun"/>
        <s v="Farhan"/>
        <s v="Geeta"/>
        <s v="Lakshmi"/>
      </sharedItems>
    </cacheField>
    <cacheField name="City" numFmtId="0">
      <sharedItems count="9">
        <s v="Mumbai"/>
        <s v="Delhi"/>
        <s v="Bangalore"/>
        <s v="Chennai"/>
        <s v="Pune"/>
        <s v="Hyderabad"/>
        <s v="Ahmedabad"/>
        <s v="Jaipur"/>
        <s v="Lucknow"/>
      </sharedItems>
    </cacheField>
    <cacheField name="Profit" numFmtId="0">
      <sharedItems containsSemiMixedTypes="0" containsString="0" containsNumber="1" containsInteger="1" minValue="0" maxValue="45000" count="12">
        <n v="30000"/>
        <n v="2000"/>
        <n v="9000"/>
        <n v="15000"/>
        <n v="3200"/>
        <n v="10000"/>
        <n v="4000"/>
        <n v="25000"/>
        <n v="12000"/>
        <n v="5000"/>
        <n v="45000"/>
        <n v="6000"/>
      </sharedItems>
    </cacheField>
    <cacheField name="Profit Margin" numFmtId="0">
      <sharedItems containsSemiMixedTypes="0" containsString="0" containsNumber="1" minValue="0" maxValue="0.444444444444444" count="5">
        <n v="0.3"/>
        <n v="0.4"/>
        <n v="0.375"/>
        <n v="0.333333333333333"/>
        <n v="0.44444444444444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  <x v="0"/>
    <x v="0"/>
  </r>
  <r>
    <x v="1"/>
    <x v="0"/>
    <x v="1"/>
    <x v="0"/>
    <x v="1"/>
    <x v="1"/>
    <x v="1"/>
    <x v="1"/>
    <x v="1"/>
    <x v="1"/>
    <x v="1"/>
    <x v="1"/>
  </r>
  <r>
    <x v="2"/>
    <x v="0"/>
    <x v="2"/>
    <x v="1"/>
    <x v="2"/>
    <x v="2"/>
    <x v="2"/>
    <x v="2"/>
    <x v="2"/>
    <x v="2"/>
    <x v="2"/>
    <x v="2"/>
  </r>
  <r>
    <x v="3"/>
    <x v="0"/>
    <x v="3"/>
    <x v="2"/>
    <x v="3"/>
    <x v="3"/>
    <x v="1"/>
    <x v="1"/>
    <x v="3"/>
    <x v="3"/>
    <x v="1"/>
    <x v="1"/>
  </r>
  <r>
    <x v="4"/>
    <x v="0"/>
    <x v="0"/>
    <x v="0"/>
    <x v="4"/>
    <x v="0"/>
    <x v="3"/>
    <x v="3"/>
    <x v="4"/>
    <x v="4"/>
    <x v="3"/>
    <x v="0"/>
  </r>
  <r>
    <x v="5"/>
    <x v="0"/>
    <x v="1"/>
    <x v="0"/>
    <x v="5"/>
    <x v="1"/>
    <x v="4"/>
    <x v="4"/>
    <x v="5"/>
    <x v="5"/>
    <x v="4"/>
    <x v="1"/>
  </r>
  <r>
    <x v="6"/>
    <x v="0"/>
    <x v="4"/>
    <x v="1"/>
    <x v="0"/>
    <x v="4"/>
    <x v="5"/>
    <x v="5"/>
    <x v="6"/>
    <x v="6"/>
    <x v="5"/>
    <x v="3"/>
  </r>
  <r>
    <x v="7"/>
    <x v="0"/>
    <x v="5"/>
    <x v="2"/>
    <x v="6"/>
    <x v="5"/>
    <x v="6"/>
    <x v="6"/>
    <x v="7"/>
    <x v="7"/>
    <x v="6"/>
    <x v="4"/>
  </r>
  <r>
    <x v="8"/>
    <x v="0"/>
    <x v="6"/>
    <x v="0"/>
    <x v="2"/>
    <x v="6"/>
    <x v="7"/>
    <x v="7"/>
    <x v="8"/>
    <x v="8"/>
    <x v="7"/>
    <x v="3"/>
  </r>
  <r>
    <x v="9"/>
    <x v="0"/>
    <x v="2"/>
    <x v="1"/>
    <x v="7"/>
    <x v="2"/>
    <x v="8"/>
    <x v="5"/>
    <x v="9"/>
    <x v="0"/>
    <x v="8"/>
    <x v="2"/>
  </r>
  <r>
    <x v="10"/>
    <x v="0"/>
    <x v="0"/>
    <x v="0"/>
    <x v="0"/>
    <x v="0"/>
    <x v="0"/>
    <x v="0"/>
    <x v="10"/>
    <x v="1"/>
    <x v="0"/>
    <x v="0"/>
  </r>
  <r>
    <x v="11"/>
    <x v="0"/>
    <x v="1"/>
    <x v="0"/>
    <x v="3"/>
    <x v="1"/>
    <x v="9"/>
    <x v="8"/>
    <x v="11"/>
    <x v="2"/>
    <x v="6"/>
    <x v="1"/>
  </r>
  <r>
    <x v="12"/>
    <x v="0"/>
    <x v="3"/>
    <x v="2"/>
    <x v="8"/>
    <x v="3"/>
    <x v="9"/>
    <x v="8"/>
    <x v="12"/>
    <x v="3"/>
    <x v="6"/>
    <x v="1"/>
  </r>
  <r>
    <x v="13"/>
    <x v="0"/>
    <x v="6"/>
    <x v="0"/>
    <x v="0"/>
    <x v="6"/>
    <x v="3"/>
    <x v="3"/>
    <x v="13"/>
    <x v="4"/>
    <x v="3"/>
    <x v="0"/>
  </r>
  <r>
    <x v="14"/>
    <x v="0"/>
    <x v="4"/>
    <x v="1"/>
    <x v="4"/>
    <x v="4"/>
    <x v="10"/>
    <x v="9"/>
    <x v="14"/>
    <x v="5"/>
    <x v="9"/>
    <x v="3"/>
  </r>
  <r>
    <x v="15"/>
    <x v="0"/>
    <x v="5"/>
    <x v="2"/>
    <x v="9"/>
    <x v="5"/>
    <x v="11"/>
    <x v="10"/>
    <x v="15"/>
    <x v="6"/>
    <x v="4"/>
    <x v="4"/>
  </r>
  <r>
    <x v="16"/>
    <x v="0"/>
    <x v="0"/>
    <x v="0"/>
    <x v="2"/>
    <x v="0"/>
    <x v="12"/>
    <x v="11"/>
    <x v="16"/>
    <x v="7"/>
    <x v="10"/>
    <x v="0"/>
  </r>
  <r>
    <x v="17"/>
    <x v="0"/>
    <x v="1"/>
    <x v="0"/>
    <x v="6"/>
    <x v="1"/>
    <x v="10"/>
    <x v="12"/>
    <x v="17"/>
    <x v="8"/>
    <x v="11"/>
    <x v="1"/>
  </r>
  <r>
    <x v="18"/>
    <x v="0"/>
    <x v="2"/>
    <x v="1"/>
    <x v="1"/>
    <x v="2"/>
    <x v="13"/>
    <x v="13"/>
    <x v="18"/>
    <x v="0"/>
    <x v="3"/>
    <x v="2"/>
  </r>
  <r>
    <x v="19"/>
    <x v="0"/>
    <x v="6"/>
    <x v="0"/>
    <x v="7"/>
    <x v="6"/>
    <x v="0"/>
    <x v="0"/>
    <x v="19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2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axis="axisRow" compact="0" sortType="descending" showAll="0">
      <items count="8">
        <item x="2"/>
        <item x="4"/>
        <item x="0"/>
        <item x="1"/>
        <item x="6"/>
        <item x="5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>
      <items count="15">
        <item x="1"/>
        <item x="11"/>
        <item x="4"/>
        <item x="6"/>
        <item x="9"/>
        <item x="10"/>
        <item x="2"/>
        <item x="5"/>
        <item x="8"/>
        <item x="13"/>
        <item x="3"/>
        <item x="7"/>
        <item x="0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8">
    <i>
      <x v="2"/>
    </i>
    <i>
      <x v="4"/>
    </i>
    <i>
      <x/>
    </i>
    <i>
      <x v="1"/>
    </i>
    <i>
      <x v="3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2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compact="0" showAll="0"/>
    <pivotField axis="axisRow" compact="0" sortType="descending" showAll="0">
      <items count="4">
        <item x="1"/>
        <item x="0"/>
        <item x="2"/>
        <item t="default"/>
      </items>
    </pivotField>
    <pivotField compact="0" showAll="0"/>
    <pivotField compact="0" showAll="0"/>
    <pivotField dataField="1" compact="0" showAll="0">
      <items count="15">
        <item x="1"/>
        <item x="11"/>
        <item x="4"/>
        <item x="6"/>
        <item x="9"/>
        <item x="10"/>
        <item x="2"/>
        <item x="5"/>
        <item x="8"/>
        <item x="13"/>
        <item x="3"/>
        <item x="7"/>
        <item x="0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formats count="2">
    <format dxfId="2">
      <pivotArea type="all" dataOnly="0" outline="0" fieldPosition="0"/>
    </format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2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axis="axisRow" compact="0" showAll="0">
      <items count="8">
        <item x="2"/>
        <item x="4"/>
        <item x="0"/>
        <item x="1"/>
        <item x="6"/>
        <item x="5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0"/>
        <item x="3"/>
        <item x="2"/>
        <item x="1"/>
        <item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fit Margin" fld="11" subtotal="average" baseField="0" baseItem="0" numFmtId="10"/>
  </dataFields>
  <formats count="57">
    <format dxfId="4">
      <pivotArea dataOnly="0" labelOnly="1" fieldPosition="0">
        <references count="1">
          <reference field="2" count="1">
            <x v="0"/>
          </reference>
        </references>
      </pivotArea>
    </format>
    <format dxfId="5">
      <pivotArea collapsedLevelsAreSubtotals="1" fieldPosition="0">
        <references count="1">
          <reference field="2" count="1" selected="0">
            <x v="0"/>
          </reference>
        </references>
      </pivotArea>
    </format>
    <format dxfId="6">
      <pivotArea dataOnly="0" labelOnly="1" grandRow="1" fieldPosition="0"/>
    </format>
    <format dxfId="7">
      <pivotArea grandRow="1" collapsedLevelsAreSubtotals="1" fieldPosition="0"/>
    </format>
    <format dxfId="8">
      <pivotArea dataOnly="0" labelOnly="1" fieldPosition="0">
        <references count="1">
          <reference field="2" count="1">
            <x v="1"/>
          </reference>
        </references>
      </pivotArea>
    </format>
    <format dxfId="9">
      <pivotArea dataOnly="0" labelOnly="1" fieldPosition="0">
        <references count="1">
          <reference field="2" count="1">
            <x v="2"/>
          </reference>
        </references>
      </pivotArea>
    </format>
    <format dxfId="10">
      <pivotArea dataOnly="0" labelOnly="1" fieldPosition="0">
        <references count="1">
          <reference field="2" count="1">
            <x v="3"/>
          </reference>
        </references>
      </pivotArea>
    </format>
    <format dxfId="11">
      <pivotArea dataOnly="0" labelOnly="1" fieldPosition="0">
        <references count="1">
          <reference field="2" count="1">
            <x v="4"/>
          </reference>
        </references>
      </pivotArea>
    </format>
    <format dxfId="12">
      <pivotArea dataOnly="0" labelOnly="1" fieldPosition="0">
        <references count="1">
          <reference field="2" count="1">
            <x v="5"/>
          </reference>
        </references>
      </pivotArea>
    </format>
    <format dxfId="13">
      <pivotArea dataOnly="0" labelOnly="1" fieldPosition="0">
        <references count="1">
          <reference field="2" count="1">
            <x v="6"/>
          </reference>
        </references>
      </pivotArea>
    </format>
    <format dxfId="14">
      <pivotArea collapsedLevelsAreSubtotals="1" fieldPosition="0">
        <references count="1">
          <reference field="2" count="1" selected="0">
            <x v="1"/>
          </reference>
        </references>
      </pivotArea>
    </format>
    <format dxfId="15">
      <pivotArea collapsedLevelsAreSubtotals="1" fieldPosition="0">
        <references count="1">
          <reference field="2" count="1" selected="0">
            <x v="2"/>
          </reference>
        </references>
      </pivotArea>
    </format>
    <format dxfId="16">
      <pivotArea collapsedLevelsAreSubtotals="1" fieldPosition="0">
        <references count="1">
          <reference field="2" count="1" selected="0">
            <x v="3"/>
          </reference>
        </references>
      </pivotArea>
    </format>
    <format dxfId="17">
      <pivotArea collapsedLevelsAreSubtotals="1" fieldPosition="0">
        <references count="1">
          <reference field="2" count="1" selected="0">
            <x v="4"/>
          </reference>
        </references>
      </pivotArea>
    </format>
    <format dxfId="18">
      <pivotArea collapsedLevelsAreSubtotals="1" fieldPosition="0">
        <references count="1">
          <reference field="2" count="1" selected="0">
            <x v="5"/>
          </reference>
        </references>
      </pivotArea>
    </format>
    <format dxfId="19">
      <pivotArea collapsedLevelsAreSubtotals="1" fieldPosition="0">
        <references count="1">
          <reference field="2" count="1" selected="0">
            <x v="6"/>
          </reference>
        </references>
      </pivotArea>
    </format>
    <format dxfId="20">
      <pivotArea dataOnly="0" labelOnly="1" fieldPosition="0">
        <references count="1">
          <reference field="2" count="1">
            <x v="1"/>
          </reference>
        </references>
      </pivotArea>
    </format>
    <format dxfId="21">
      <pivotArea dataOnly="0" labelOnly="1" fieldPosition="0">
        <references count="1">
          <reference field="2" count="1">
            <x v="2"/>
          </reference>
        </references>
      </pivotArea>
    </format>
    <format dxfId="22">
      <pivotArea dataOnly="0" labelOnly="1" fieldPosition="0">
        <references count="1">
          <reference field="2" count="1">
            <x v="3"/>
          </reference>
        </references>
      </pivotArea>
    </format>
    <format dxfId="23">
      <pivotArea dataOnly="0" labelOnly="1" fieldPosition="0">
        <references count="1">
          <reference field="2" count="1">
            <x v="4"/>
          </reference>
        </references>
      </pivotArea>
    </format>
    <format dxfId="24">
      <pivotArea dataOnly="0" labelOnly="1" fieldPosition="0">
        <references count="1">
          <reference field="2" count="1">
            <x v="5"/>
          </reference>
        </references>
      </pivotArea>
    </format>
    <format dxfId="25">
      <pivotArea dataOnly="0" labelOnly="1" fieldPosition="0">
        <references count="1">
          <reference field="2" count="1">
            <x v="6"/>
          </reference>
        </references>
      </pivotArea>
    </format>
    <format dxfId="26">
      <pivotArea collapsedLevelsAreSubtotals="1" fieldPosition="0">
        <references count="1">
          <reference field="2" count="1" selected="0">
            <x v="1"/>
          </reference>
        </references>
      </pivotArea>
    </format>
    <format dxfId="27">
      <pivotArea collapsedLevelsAreSubtotals="1" fieldPosition="0">
        <references count="1">
          <reference field="2" count="1" selected="0">
            <x v="2"/>
          </reference>
        </references>
      </pivotArea>
    </format>
    <format dxfId="28">
      <pivotArea collapsedLevelsAreSubtotals="1" fieldPosition="0">
        <references count="1">
          <reference field="2" count="1" selected="0">
            <x v="3"/>
          </reference>
        </references>
      </pivotArea>
    </format>
    <format dxfId="29">
      <pivotArea collapsedLevelsAreSubtotals="1" fieldPosition="0">
        <references count="1">
          <reference field="2" count="1" selected="0">
            <x v="4"/>
          </reference>
        </references>
      </pivotArea>
    </format>
    <format dxfId="30">
      <pivotArea collapsedLevelsAreSubtotals="1" fieldPosition="0">
        <references count="1">
          <reference field="2" count="1" selected="0">
            <x v="5"/>
          </reference>
        </references>
      </pivotArea>
    </format>
    <format dxfId="31">
      <pivotArea collapsedLevelsAreSubtotals="1" fieldPosition="0">
        <references count="1">
          <reference field="2" count="1" selected="0">
            <x v="6"/>
          </reference>
        </references>
      </pivotArea>
    </format>
    <format dxfId="32">
      <pivotArea field="2" type="button" dataOnly="0" labelOnly="1" outline="0" fieldPosition="0"/>
    </format>
    <format dxfId="33">
      <pivotArea dataOnly="0" labelOnly="1" fieldPosition="0">
        <references count="1">
          <reference field="2" count="1">
            <x v="0"/>
          </reference>
        </references>
      </pivotArea>
    </format>
    <format dxfId="34">
      <pivotArea dataOnly="0" labelOnly="1" fieldPosition="0">
        <references count="1">
          <reference field="2" count="1">
            <x v="1"/>
          </reference>
        </references>
      </pivotArea>
    </format>
    <format dxfId="35">
      <pivotArea dataOnly="0" labelOnly="1" fieldPosition="0">
        <references count="1">
          <reference field="2" count="1">
            <x v="2"/>
          </reference>
        </references>
      </pivotArea>
    </format>
    <format dxfId="36">
      <pivotArea dataOnly="0" labelOnly="1" fieldPosition="0">
        <references count="1">
          <reference field="2" count="1">
            <x v="3"/>
          </reference>
        </references>
      </pivotArea>
    </format>
    <format dxfId="37">
      <pivotArea dataOnly="0" labelOnly="1" fieldPosition="0">
        <references count="1">
          <reference field="2" count="1">
            <x v="4"/>
          </reference>
        </references>
      </pivotArea>
    </format>
    <format dxfId="38">
      <pivotArea dataOnly="0" labelOnly="1" fieldPosition="0">
        <references count="1">
          <reference field="2" count="1">
            <x v="5"/>
          </reference>
        </references>
      </pivotArea>
    </format>
    <format dxfId="39">
      <pivotArea dataOnly="0" labelOnly="1" fieldPosition="0">
        <references count="1">
          <reference field="2" count="1">
            <x v="6"/>
          </reference>
        </references>
      </pivotArea>
    </format>
    <format dxfId="40">
      <pivotArea collapsedLevelsAreSubtotals="1" fieldPosition="0">
        <references count="1">
          <reference field="2" count="1" selected="0">
            <x v="0"/>
          </reference>
        </references>
      </pivotArea>
    </format>
    <format dxfId="41">
      <pivotArea collapsedLevelsAreSubtotals="1" fieldPosition="0">
        <references count="1">
          <reference field="2" count="1" selected="0">
            <x v="1"/>
          </reference>
        </references>
      </pivotArea>
    </format>
    <format dxfId="42">
      <pivotArea collapsedLevelsAreSubtotals="1" fieldPosition="0">
        <references count="1">
          <reference field="2" count="1" selected="0">
            <x v="2"/>
          </reference>
        </references>
      </pivotArea>
    </format>
    <format dxfId="43">
      <pivotArea collapsedLevelsAreSubtotals="1" fieldPosition="0">
        <references count="1">
          <reference field="2" count="1" selected="0">
            <x v="3"/>
          </reference>
        </references>
      </pivotArea>
    </format>
    <format dxfId="44">
      <pivotArea collapsedLevelsAreSubtotals="1" fieldPosition="0">
        <references count="1">
          <reference field="2" count="1" selected="0">
            <x v="4"/>
          </reference>
        </references>
      </pivotArea>
    </format>
    <format dxfId="45">
      <pivotArea collapsedLevelsAreSubtotals="1" fieldPosition="0">
        <references count="1">
          <reference field="2" count="1" selected="0">
            <x v="5"/>
          </reference>
        </references>
      </pivotArea>
    </format>
    <format dxfId="46">
      <pivotArea collapsedLevelsAreSubtotals="1" fieldPosition="0">
        <references count="1">
          <reference field="2" count="1" selected="0">
            <x v="6"/>
          </reference>
        </references>
      </pivotArea>
    </format>
    <format dxfId="47">
      <pivotArea dataOnly="0" labelOnly="1" fieldPosition="0">
        <references count="1">
          <reference field="2" count="1">
            <x v="0"/>
          </reference>
        </references>
      </pivotArea>
    </format>
    <format dxfId="48">
      <pivotArea dataOnly="0" labelOnly="1" fieldPosition="0">
        <references count="1">
          <reference field="2" count="1">
            <x v="1"/>
          </reference>
        </references>
      </pivotArea>
    </format>
    <format dxfId="49">
      <pivotArea dataOnly="0" labelOnly="1" fieldPosition="0">
        <references count="1">
          <reference field="2" count="1">
            <x v="2"/>
          </reference>
        </references>
      </pivotArea>
    </format>
    <format dxfId="50">
      <pivotArea dataOnly="0" labelOnly="1" fieldPosition="0">
        <references count="1">
          <reference field="2" count="1">
            <x v="3"/>
          </reference>
        </references>
      </pivotArea>
    </format>
    <format dxfId="51">
      <pivotArea dataOnly="0" labelOnly="1" fieldPosition="0">
        <references count="1">
          <reference field="2" count="1">
            <x v="4"/>
          </reference>
        </references>
      </pivotArea>
    </format>
    <format dxfId="52">
      <pivotArea dataOnly="0" labelOnly="1" fieldPosition="0">
        <references count="1">
          <reference field="2" count="1">
            <x v="5"/>
          </reference>
        </references>
      </pivotArea>
    </format>
    <format dxfId="53">
      <pivotArea dataOnly="0" labelOnly="1" fieldPosition="0">
        <references count="1">
          <reference field="2" count="1">
            <x v="6"/>
          </reference>
        </references>
      </pivotArea>
    </format>
    <format dxfId="54">
      <pivotArea collapsedLevelsAreSubtotals="1" fieldPosition="0">
        <references count="1">
          <reference field="2" count="1" selected="0">
            <x v="0"/>
          </reference>
        </references>
      </pivotArea>
    </format>
    <format dxfId="55">
      <pivotArea collapsedLevelsAreSubtotals="1" fieldPosition="0">
        <references count="1">
          <reference field="2" count="1" selected="0">
            <x v="1"/>
          </reference>
        </references>
      </pivotArea>
    </format>
    <format dxfId="56">
      <pivotArea collapsedLevelsAreSubtotals="1" fieldPosition="0">
        <references count="1">
          <reference field="2" count="1" selected="0">
            <x v="2"/>
          </reference>
        </references>
      </pivotArea>
    </format>
    <format dxfId="57">
      <pivotArea collapsedLevelsAreSubtotals="1" fieldPosition="0">
        <references count="1">
          <reference field="2" count="1" selected="0">
            <x v="3"/>
          </reference>
        </references>
      </pivotArea>
    </format>
    <format dxfId="58">
      <pivotArea collapsedLevelsAreSubtotals="1" fieldPosition="0">
        <references count="1">
          <reference field="2" count="1" selected="0">
            <x v="4"/>
          </reference>
        </references>
      </pivotArea>
    </format>
    <format dxfId="59">
      <pivotArea collapsedLevelsAreSubtotals="1" fieldPosition="0">
        <references count="1">
          <reference field="2" count="1" selected="0">
            <x v="5"/>
          </reference>
        </references>
      </pivotArea>
    </format>
    <format dxfId="60">
      <pivotArea collapsedLevelsAreSubtotals="1" fieldPosition="0">
        <references count="1">
          <reference field="2" count="1" selected="0">
            <x v="6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5">
        <item x="1"/>
        <item x="11"/>
        <item x="4"/>
        <item x="6"/>
        <item x="9"/>
        <item x="10"/>
        <item x="2"/>
        <item x="5"/>
        <item x="8"/>
        <item x="13"/>
        <item x="3"/>
        <item x="7"/>
        <item x="0"/>
        <item x="12"/>
        <item t="default"/>
      </items>
    </pivotField>
    <pivotField compact="0" showAll="0"/>
    <pivotField axis="axisRow" measureFilter="1" compact="0" sortType="descending" showAll="0">
      <items count="21">
        <item x="4"/>
        <item x="14"/>
        <item x="12"/>
        <item x="7"/>
        <item x="6"/>
        <item x="0"/>
        <item x="1"/>
        <item x="9"/>
        <item x="3"/>
        <item x="15"/>
        <item x="19"/>
        <item x="10"/>
        <item x="18"/>
        <item x="17"/>
        <item x="11"/>
        <item x="5"/>
        <item x="16"/>
        <item x="8"/>
        <item x="13"/>
        <item x="2"/>
        <item t="default"/>
      </items>
    </pivotField>
    <pivotField compact="0" showAll="0"/>
    <pivotField compact="0" showAll="0"/>
    <pivotField compact="0" showAll="0"/>
  </pivotFields>
  <rowFields count="1">
    <field x="8"/>
  </rowFields>
  <rowItems count="6">
    <i>
      <x v="5"/>
    </i>
    <i>
      <x v="10"/>
    </i>
    <i>
      <x v="11"/>
    </i>
    <i>
      <x v="16"/>
    </i>
    <i>
      <x v="17"/>
    </i>
    <i t="grand">
      <x/>
    </i>
  </rowItems>
  <colItems count="1">
    <i/>
  </colItems>
  <dataFields count="1">
    <dataField name="Sum of Revenue" fld="6" baseField="0" baseItem="0"/>
  </dataFields>
  <formats count="2">
    <format dxfId="61">
      <pivotArea type="all" dataOnly="0" outline="0" fieldPosition="0"/>
    </format>
    <format dxfId="62">
      <pivotArea type="all" dataOnly="0" outline="0" fieldPosition="0"/>
    </format>
  </formats>
  <pivotTableStyleInfo name="PivotStylePreset2_Accent1" showRowHeaders="1" showColHeaders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3" firstHeaderRow="1" firstDataRow="1" firstDataCol="1"/>
  <pivotFields count="12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5">
        <item x="1"/>
        <item x="11"/>
        <item x="4"/>
        <item x="6"/>
        <item x="9"/>
        <item x="10"/>
        <item x="2"/>
        <item x="5"/>
        <item x="8"/>
        <item x="13"/>
        <item x="3"/>
        <item x="7"/>
        <item x="0"/>
        <item x="12"/>
        <item t="default"/>
      </items>
    </pivotField>
    <pivotField compact="0" showAll="0"/>
    <pivotField compact="0" showAll="0"/>
    <pivotField axis="axisRow" compact="0" sortType="descending" showAll="0">
      <items count="10">
        <item x="4"/>
        <item x="0"/>
        <item x="8"/>
        <item x="7"/>
        <item x="5"/>
        <item x="1"/>
        <item x="3"/>
        <item x="2"/>
        <item x="6"/>
        <item t="default"/>
      </items>
    </pivotField>
    <pivotField compact="0" showAll="0"/>
    <pivotField compact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6" baseField="0" baseItem="0"/>
  </dataFields>
  <formats count="3">
    <format dxfId="63">
      <pivotArea type="all" dataOnly="0" outline="0" fieldPosition="0"/>
    </format>
    <format dxfId="64">
      <pivotArea type="all" dataOnly="0" outline="0" fieldPosition="0"/>
    </format>
    <format dxfId="6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18" sqref="B18"/>
    </sheetView>
  </sheetViews>
  <sheetFormatPr defaultColWidth="8.88888888888889" defaultRowHeight="14.4" outlineLevelCol="1"/>
  <cols>
    <col min="1" max="1" width="14.3333333333333" customWidth="1"/>
    <col min="2" max="2" width="16.1111111111111"/>
  </cols>
  <sheetData>
    <row r="3" spans="1:2">
      <c r="A3" s="5" t="s">
        <v>0</v>
      </c>
      <c r="B3" s="5" t="s">
        <v>1</v>
      </c>
    </row>
    <row r="4" spans="1:2">
      <c r="A4" s="5" t="s">
        <v>2</v>
      </c>
      <c r="B4" s="5">
        <v>400000</v>
      </c>
    </row>
    <row r="5" spans="1:2">
      <c r="A5" s="5" t="s">
        <v>3</v>
      </c>
      <c r="B5" s="5">
        <v>225000</v>
      </c>
    </row>
    <row r="6" spans="1:2">
      <c r="A6" s="5" t="s">
        <v>4</v>
      </c>
      <c r="B6" s="5">
        <v>96000</v>
      </c>
    </row>
    <row r="7" spans="1:2">
      <c r="A7" s="5" t="s">
        <v>5</v>
      </c>
      <c r="B7" s="5">
        <v>45000</v>
      </c>
    </row>
    <row r="8" spans="1:2">
      <c r="A8" s="5" t="s">
        <v>6</v>
      </c>
      <c r="B8" s="5">
        <v>38000</v>
      </c>
    </row>
    <row r="9" spans="1:2">
      <c r="A9" s="5" t="s">
        <v>7</v>
      </c>
      <c r="B9" s="5">
        <v>16200</v>
      </c>
    </row>
    <row r="10" spans="1:2">
      <c r="A10" s="5" t="s">
        <v>8</v>
      </c>
      <c r="B10" s="5">
        <v>15000</v>
      </c>
    </row>
    <row r="11" spans="1:2">
      <c r="A11" s="5" t="s">
        <v>9</v>
      </c>
      <c r="B11" s="5">
        <v>835200</v>
      </c>
    </row>
  </sheetData>
  <conditionalFormatting sqref="B4:B10">
    <cfRule type="cellIs" dxfId="66" priority="1" operator="greaterThan">
      <formula>50000</formula>
    </cfRule>
  </conditionalFormatting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7" sqref="L7"/>
    </sheetView>
  </sheetViews>
  <sheetFormatPr defaultColWidth="8.88888888888889" defaultRowHeight="14.4" outlineLevelRow="6" outlineLevelCol="1"/>
  <cols>
    <col min="1" max="1" width="11.6666666666667"/>
    <col min="2" max="2" width="16.1111111111111"/>
  </cols>
  <sheetData>
    <row r="3" spans="1:2">
      <c r="A3" s="5" t="s">
        <v>10</v>
      </c>
      <c r="B3" s="5" t="s">
        <v>1</v>
      </c>
    </row>
    <row r="4" spans="1:2">
      <c r="A4" s="5" t="s">
        <v>11</v>
      </c>
      <c r="B4" s="5">
        <v>141000</v>
      </c>
    </row>
    <row r="5" spans="1:2">
      <c r="A5" s="5" t="s">
        <v>12</v>
      </c>
      <c r="B5" s="5">
        <v>663000</v>
      </c>
    </row>
    <row r="6" spans="1:2">
      <c r="A6" s="5" t="s">
        <v>13</v>
      </c>
      <c r="B6" s="5">
        <v>31200</v>
      </c>
    </row>
    <row r="7" spans="1:2">
      <c r="A7" s="5" t="s">
        <v>9</v>
      </c>
      <c r="B7" s="5">
        <v>835200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N27" sqref="N27"/>
    </sheetView>
  </sheetViews>
  <sheetFormatPr defaultColWidth="8.88888888888889" defaultRowHeight="14.4" outlineLevelCol="1"/>
  <cols>
    <col min="1" max="1" width="11.6666666666667"/>
    <col min="2" max="2" width="23.8888888888889"/>
  </cols>
  <sheetData>
    <row r="3" spans="1:2">
      <c r="A3" t="s">
        <v>0</v>
      </c>
      <c r="B3" t="s">
        <v>14</v>
      </c>
    </row>
    <row r="4" spans="1:2">
      <c r="A4" s="5" t="s">
        <v>4</v>
      </c>
      <c r="B4" s="6">
        <v>0.375</v>
      </c>
    </row>
    <row r="5" spans="1:2">
      <c r="A5" s="5" t="s">
        <v>5</v>
      </c>
      <c r="B5" s="6">
        <v>0.333333333333333</v>
      </c>
    </row>
    <row r="6" spans="1:2">
      <c r="A6" s="5" t="s">
        <v>2</v>
      </c>
      <c r="B6" s="6">
        <v>0.3</v>
      </c>
    </row>
    <row r="7" spans="1:2">
      <c r="A7" s="5" t="s">
        <v>6</v>
      </c>
      <c r="B7" s="6">
        <v>0.4</v>
      </c>
    </row>
    <row r="8" spans="1:2">
      <c r="A8" s="5" t="s">
        <v>3</v>
      </c>
      <c r="B8" s="6">
        <v>0.311111111111111</v>
      </c>
    </row>
    <row r="9" spans="1:2">
      <c r="A9" s="5" t="s">
        <v>7</v>
      </c>
      <c r="B9" s="6">
        <v>0.444444444444444</v>
      </c>
    </row>
    <row r="10" spans="1:2">
      <c r="A10" s="5" t="s">
        <v>8</v>
      </c>
      <c r="B10" s="6">
        <v>0.4</v>
      </c>
    </row>
    <row r="11" spans="1:2">
      <c r="A11" t="s">
        <v>9</v>
      </c>
      <c r="B11" s="7">
        <v>0.360694444444444</v>
      </c>
    </row>
  </sheetData>
  <conditionalFormatting sqref="B4:B10">
    <cfRule type="cellIs" dxfId="66" priority="2" operator="lessThan">
      <formula>0.3</formula>
    </cfRule>
    <cfRule type="cellIs" dxfId="66" priority="1" operator="lessThan">
      <formula>0.35</formula>
    </cfRule>
  </conditionalFormatting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H27" sqref="H27"/>
    </sheetView>
  </sheetViews>
  <sheetFormatPr defaultColWidth="8.88888888888889" defaultRowHeight="14.4" outlineLevelCol="1"/>
  <cols>
    <col min="1" max="1" width="11.7777777777778"/>
    <col min="2" max="2" width="16.1111111111111"/>
  </cols>
  <sheetData>
    <row r="3" spans="1:2">
      <c r="A3" s="5" t="s">
        <v>15</v>
      </c>
      <c r="B3" s="5" t="s">
        <v>1</v>
      </c>
    </row>
    <row r="4" spans="1:2">
      <c r="A4" s="5" t="s">
        <v>16</v>
      </c>
      <c r="B4" s="5">
        <v>100000</v>
      </c>
    </row>
    <row r="5" spans="1:2">
      <c r="A5" s="5" t="s">
        <v>17</v>
      </c>
      <c r="B5" s="5">
        <v>100000</v>
      </c>
    </row>
    <row r="6" spans="1:2">
      <c r="A6" s="5" t="s">
        <v>18</v>
      </c>
      <c r="B6" s="5">
        <v>100000</v>
      </c>
    </row>
    <row r="7" spans="1:2">
      <c r="A7" s="5" t="s">
        <v>19</v>
      </c>
      <c r="B7" s="5">
        <v>150000</v>
      </c>
    </row>
    <row r="8" spans="1:2">
      <c r="A8" s="5" t="s">
        <v>20</v>
      </c>
      <c r="B8" s="5">
        <v>75000</v>
      </c>
    </row>
    <row r="9" spans="1:2">
      <c r="A9" s="5" t="s">
        <v>9</v>
      </c>
      <c r="B9" s="5">
        <v>525000</v>
      </c>
    </row>
  </sheetData>
  <conditionalFormatting sqref="B4:B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tabSelected="1" workbookViewId="0">
      <selection activeCell="G28" sqref="G28"/>
    </sheetView>
  </sheetViews>
  <sheetFormatPr defaultColWidth="8.88888888888889" defaultRowHeight="14.4" outlineLevelCol="1"/>
  <cols>
    <col min="1" max="1" width="11.6666666666667"/>
    <col min="2" max="2" width="16.1111111111111"/>
  </cols>
  <sheetData>
    <row r="3" spans="1:2">
      <c r="A3" s="4" t="s">
        <v>21</v>
      </c>
      <c r="B3" s="4" t="s">
        <v>1</v>
      </c>
    </row>
    <row r="4" spans="1:2">
      <c r="A4" s="4" t="s">
        <v>22</v>
      </c>
      <c r="B4" s="4">
        <v>100000</v>
      </c>
    </row>
    <row r="5" spans="1:2">
      <c r="A5" s="4" t="s">
        <v>23</v>
      </c>
      <c r="B5" s="4">
        <v>172000</v>
      </c>
    </row>
    <row r="6" spans="1:2">
      <c r="A6" s="4" t="s">
        <v>24</v>
      </c>
      <c r="B6" s="4">
        <v>90000</v>
      </c>
    </row>
    <row r="7" spans="1:2">
      <c r="A7" s="4" t="s">
        <v>25</v>
      </c>
      <c r="B7" s="4">
        <v>159000</v>
      </c>
    </row>
    <row r="8" spans="1:2">
      <c r="A8" s="4" t="s">
        <v>26</v>
      </c>
      <c r="B8" s="4">
        <v>23000</v>
      </c>
    </row>
    <row r="9" spans="1:2">
      <c r="A9" s="4" t="s">
        <v>27</v>
      </c>
      <c r="B9" s="4">
        <v>205000</v>
      </c>
    </row>
    <row r="10" spans="1:2">
      <c r="A10" s="4" t="s">
        <v>28</v>
      </c>
      <c r="B10" s="4">
        <v>15000</v>
      </c>
    </row>
    <row r="11" spans="1:2">
      <c r="A11" s="4" t="s">
        <v>29</v>
      </c>
      <c r="B11" s="4">
        <v>34000</v>
      </c>
    </row>
    <row r="12" spans="1:2">
      <c r="A12" s="4" t="s">
        <v>30</v>
      </c>
      <c r="B12" s="4">
        <v>37200</v>
      </c>
    </row>
    <row r="13" spans="1:2">
      <c r="A13" s="4" t="s">
        <v>9</v>
      </c>
      <c r="B13" s="4">
        <v>835200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D24" sqref="D24"/>
    </sheetView>
  </sheetViews>
  <sheetFormatPr defaultColWidth="8.88888888888889" defaultRowHeight="14.4"/>
  <cols>
    <col min="4" max="4" width="11.8888888888889" customWidth="1"/>
    <col min="10" max="10" width="10.6666666666667" customWidth="1"/>
    <col min="12" max="12" width="12.7777777777778" customWidth="1"/>
  </cols>
  <sheetData>
    <row r="1" spans="1:12">
      <c r="A1" s="3" t="s">
        <v>31</v>
      </c>
      <c r="B1" s="3" t="s">
        <v>32</v>
      </c>
      <c r="C1" s="3" t="s">
        <v>0</v>
      </c>
      <c r="D1" s="3" t="s">
        <v>10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15</v>
      </c>
      <c r="J1" s="3" t="s">
        <v>21</v>
      </c>
      <c r="K1" s="3" t="s">
        <v>37</v>
      </c>
      <c r="L1" s="3" t="s">
        <v>38</v>
      </c>
    </row>
    <row r="2" spans="1:12">
      <c r="A2" s="4" t="s">
        <v>39</v>
      </c>
      <c r="B2" s="4" t="s">
        <v>40</v>
      </c>
      <c r="C2" s="4" t="s">
        <v>2</v>
      </c>
      <c r="D2" s="4" t="s">
        <v>12</v>
      </c>
      <c r="E2" s="4">
        <v>2</v>
      </c>
      <c r="F2" s="4">
        <v>50000</v>
      </c>
      <c r="G2" s="4">
        <v>100000</v>
      </c>
      <c r="H2" s="4">
        <v>70000</v>
      </c>
      <c r="I2" s="4" t="s">
        <v>16</v>
      </c>
      <c r="J2" s="4" t="s">
        <v>23</v>
      </c>
      <c r="K2" s="4">
        <f>G2-H2</f>
        <v>30000</v>
      </c>
      <c r="L2" s="4">
        <f>K2/G2</f>
        <v>0.3</v>
      </c>
    </row>
    <row r="3" spans="1:12">
      <c r="A3" s="4" t="s">
        <v>41</v>
      </c>
      <c r="B3" s="4" t="s">
        <v>40</v>
      </c>
      <c r="C3" s="4" t="s">
        <v>6</v>
      </c>
      <c r="D3" s="4" t="s">
        <v>12</v>
      </c>
      <c r="E3" s="4">
        <v>5</v>
      </c>
      <c r="F3" s="4">
        <v>1000</v>
      </c>
      <c r="G3" s="4">
        <v>5000</v>
      </c>
      <c r="H3" s="4">
        <v>3000</v>
      </c>
      <c r="I3" s="4" t="s">
        <v>42</v>
      </c>
      <c r="J3" s="4" t="s">
        <v>27</v>
      </c>
      <c r="K3" s="4">
        <f t="shared" ref="K3:K21" si="0">G3-H3</f>
        <v>2000</v>
      </c>
      <c r="L3" s="4">
        <f t="shared" ref="L3:L21" si="1">K3/G3</f>
        <v>0.4</v>
      </c>
    </row>
    <row r="4" spans="1:12">
      <c r="A4" s="4" t="s">
        <v>43</v>
      </c>
      <c r="B4" s="4" t="s">
        <v>40</v>
      </c>
      <c r="C4" s="4" t="s">
        <v>4</v>
      </c>
      <c r="D4" s="4" t="s">
        <v>11</v>
      </c>
      <c r="E4" s="4">
        <v>3</v>
      </c>
      <c r="F4" s="4">
        <v>8000</v>
      </c>
      <c r="G4" s="4">
        <v>24000</v>
      </c>
      <c r="H4" s="4">
        <v>15000</v>
      </c>
      <c r="I4" s="4" t="s">
        <v>44</v>
      </c>
      <c r="J4" s="4" t="s">
        <v>29</v>
      </c>
      <c r="K4" s="4">
        <f t="shared" si="0"/>
        <v>9000</v>
      </c>
      <c r="L4" s="4">
        <f t="shared" si="1"/>
        <v>0.375</v>
      </c>
    </row>
    <row r="5" spans="1:12">
      <c r="A5" s="4" t="s">
        <v>45</v>
      </c>
      <c r="B5" s="4" t="s">
        <v>40</v>
      </c>
      <c r="C5" s="4" t="s">
        <v>8</v>
      </c>
      <c r="D5" s="4" t="s">
        <v>13</v>
      </c>
      <c r="E5" s="4">
        <v>10</v>
      </c>
      <c r="F5" s="4">
        <v>500</v>
      </c>
      <c r="G5" s="4">
        <v>5000</v>
      </c>
      <c r="H5" s="4">
        <v>3000</v>
      </c>
      <c r="I5" s="4" t="s">
        <v>46</v>
      </c>
      <c r="J5" s="4" t="s">
        <v>28</v>
      </c>
      <c r="K5" s="4">
        <f t="shared" si="0"/>
        <v>2000</v>
      </c>
      <c r="L5" s="4">
        <f t="shared" si="1"/>
        <v>0.4</v>
      </c>
    </row>
    <row r="6" spans="1:12">
      <c r="A6" s="4" t="s">
        <v>47</v>
      </c>
      <c r="B6" s="4" t="s">
        <v>40</v>
      </c>
      <c r="C6" s="4" t="s">
        <v>2</v>
      </c>
      <c r="D6" s="4" t="s">
        <v>12</v>
      </c>
      <c r="E6" s="4">
        <v>1</v>
      </c>
      <c r="F6" s="4">
        <v>50000</v>
      </c>
      <c r="G6" s="4">
        <v>50000</v>
      </c>
      <c r="H6" s="4">
        <v>35000</v>
      </c>
      <c r="I6" s="4" t="s">
        <v>48</v>
      </c>
      <c r="J6" s="4" t="s">
        <v>22</v>
      </c>
      <c r="K6" s="4">
        <f t="shared" si="0"/>
        <v>15000</v>
      </c>
      <c r="L6" s="4">
        <f t="shared" si="1"/>
        <v>0.3</v>
      </c>
    </row>
    <row r="7" spans="1:12">
      <c r="A7" s="4" t="s">
        <v>49</v>
      </c>
      <c r="B7" s="4" t="s">
        <v>40</v>
      </c>
      <c r="C7" s="4" t="s">
        <v>6</v>
      </c>
      <c r="D7" s="4" t="s">
        <v>12</v>
      </c>
      <c r="E7" s="4">
        <v>8</v>
      </c>
      <c r="F7" s="4">
        <v>1000</v>
      </c>
      <c r="G7" s="4">
        <v>8000</v>
      </c>
      <c r="H7" s="4">
        <v>4800</v>
      </c>
      <c r="I7" s="4" t="s">
        <v>50</v>
      </c>
      <c r="J7" s="4" t="s">
        <v>26</v>
      </c>
      <c r="K7" s="4">
        <f t="shared" si="0"/>
        <v>3200</v>
      </c>
      <c r="L7" s="4">
        <f t="shared" si="1"/>
        <v>0.4</v>
      </c>
    </row>
    <row r="8" spans="1:12">
      <c r="A8" s="4" t="s">
        <v>51</v>
      </c>
      <c r="B8" s="4" t="s">
        <v>40</v>
      </c>
      <c r="C8" s="4" t="s">
        <v>5</v>
      </c>
      <c r="D8" s="4" t="s">
        <v>11</v>
      </c>
      <c r="E8" s="4">
        <v>2</v>
      </c>
      <c r="F8" s="4">
        <v>15000</v>
      </c>
      <c r="G8" s="4">
        <v>30000</v>
      </c>
      <c r="H8" s="4">
        <v>20000</v>
      </c>
      <c r="I8" s="4" t="s">
        <v>52</v>
      </c>
      <c r="J8" s="4" t="s">
        <v>30</v>
      </c>
      <c r="K8" s="4">
        <f t="shared" si="0"/>
        <v>10000</v>
      </c>
      <c r="L8" s="4">
        <f t="shared" si="1"/>
        <v>0.333333333333333</v>
      </c>
    </row>
    <row r="9" spans="1:12">
      <c r="A9" s="4" t="s">
        <v>53</v>
      </c>
      <c r="B9" s="4" t="s">
        <v>40</v>
      </c>
      <c r="C9" s="4" t="s">
        <v>7</v>
      </c>
      <c r="D9" s="4" t="s">
        <v>13</v>
      </c>
      <c r="E9" s="4">
        <v>15</v>
      </c>
      <c r="F9" s="4">
        <v>600</v>
      </c>
      <c r="G9" s="4">
        <v>9000</v>
      </c>
      <c r="H9" s="4">
        <v>5000</v>
      </c>
      <c r="I9" s="4" t="s">
        <v>54</v>
      </c>
      <c r="J9" s="4" t="s">
        <v>25</v>
      </c>
      <c r="K9" s="4">
        <f t="shared" si="0"/>
        <v>4000</v>
      </c>
      <c r="L9" s="4">
        <f t="shared" si="1"/>
        <v>0.444444444444444</v>
      </c>
    </row>
    <row r="10" spans="1:12">
      <c r="A10" s="4" t="s">
        <v>55</v>
      </c>
      <c r="B10" s="4" t="s">
        <v>40</v>
      </c>
      <c r="C10" s="4" t="s">
        <v>3</v>
      </c>
      <c r="D10" s="4" t="s">
        <v>12</v>
      </c>
      <c r="E10" s="4">
        <v>3</v>
      </c>
      <c r="F10" s="4">
        <v>25000</v>
      </c>
      <c r="G10" s="4">
        <v>75000</v>
      </c>
      <c r="H10" s="4">
        <v>50000</v>
      </c>
      <c r="I10" s="4" t="s">
        <v>20</v>
      </c>
      <c r="J10" s="4" t="s">
        <v>24</v>
      </c>
      <c r="K10" s="4">
        <f t="shared" si="0"/>
        <v>25000</v>
      </c>
      <c r="L10" s="4">
        <f t="shared" si="1"/>
        <v>0.333333333333333</v>
      </c>
    </row>
    <row r="11" spans="1:12">
      <c r="A11" s="4" t="s">
        <v>56</v>
      </c>
      <c r="B11" s="4" t="s">
        <v>40</v>
      </c>
      <c r="C11" s="4" t="s">
        <v>4</v>
      </c>
      <c r="D11" s="4" t="s">
        <v>11</v>
      </c>
      <c r="E11" s="4">
        <v>4</v>
      </c>
      <c r="F11" s="4">
        <v>8000</v>
      </c>
      <c r="G11" s="4">
        <v>32000</v>
      </c>
      <c r="H11" s="4">
        <v>20000</v>
      </c>
      <c r="I11" s="4" t="s">
        <v>57</v>
      </c>
      <c r="J11" s="4" t="s">
        <v>23</v>
      </c>
      <c r="K11" s="4">
        <f t="shared" si="0"/>
        <v>12000</v>
      </c>
      <c r="L11" s="4">
        <f t="shared" si="1"/>
        <v>0.375</v>
      </c>
    </row>
    <row r="12" spans="1:12">
      <c r="A12" s="4" t="s">
        <v>58</v>
      </c>
      <c r="B12" s="4" t="s">
        <v>40</v>
      </c>
      <c r="C12" s="4" t="s">
        <v>2</v>
      </c>
      <c r="D12" s="4" t="s">
        <v>12</v>
      </c>
      <c r="E12" s="4">
        <v>2</v>
      </c>
      <c r="F12" s="4">
        <v>50000</v>
      </c>
      <c r="G12" s="4">
        <v>100000</v>
      </c>
      <c r="H12" s="4">
        <v>70000</v>
      </c>
      <c r="I12" s="4" t="s">
        <v>18</v>
      </c>
      <c r="J12" s="4" t="s">
        <v>27</v>
      </c>
      <c r="K12" s="4">
        <f t="shared" si="0"/>
        <v>30000</v>
      </c>
      <c r="L12" s="4">
        <f t="shared" si="1"/>
        <v>0.3</v>
      </c>
    </row>
    <row r="13" spans="1:12">
      <c r="A13" s="4" t="s">
        <v>59</v>
      </c>
      <c r="B13" s="4" t="s">
        <v>40</v>
      </c>
      <c r="C13" s="4" t="s">
        <v>6</v>
      </c>
      <c r="D13" s="4" t="s">
        <v>12</v>
      </c>
      <c r="E13" s="4">
        <v>10</v>
      </c>
      <c r="F13" s="4">
        <v>1000</v>
      </c>
      <c r="G13" s="4">
        <v>10000</v>
      </c>
      <c r="H13" s="4">
        <v>6000</v>
      </c>
      <c r="I13" s="4" t="s">
        <v>60</v>
      </c>
      <c r="J13" s="4" t="s">
        <v>29</v>
      </c>
      <c r="K13" s="4">
        <f t="shared" si="0"/>
        <v>4000</v>
      </c>
      <c r="L13" s="4">
        <f t="shared" si="1"/>
        <v>0.4</v>
      </c>
    </row>
    <row r="14" spans="1:12">
      <c r="A14" s="4" t="s">
        <v>61</v>
      </c>
      <c r="B14" s="4" t="s">
        <v>40</v>
      </c>
      <c r="C14" s="4" t="s">
        <v>8</v>
      </c>
      <c r="D14" s="4" t="s">
        <v>13</v>
      </c>
      <c r="E14" s="4">
        <v>20</v>
      </c>
      <c r="F14" s="4">
        <v>500</v>
      </c>
      <c r="G14" s="4">
        <v>10000</v>
      </c>
      <c r="H14" s="4">
        <v>6000</v>
      </c>
      <c r="I14" s="4" t="s">
        <v>62</v>
      </c>
      <c r="J14" s="4" t="s">
        <v>28</v>
      </c>
      <c r="K14" s="4">
        <f t="shared" si="0"/>
        <v>4000</v>
      </c>
      <c r="L14" s="4">
        <f t="shared" si="1"/>
        <v>0.4</v>
      </c>
    </row>
    <row r="15" spans="1:12">
      <c r="A15" s="4" t="s">
        <v>63</v>
      </c>
      <c r="B15" s="4" t="s">
        <v>40</v>
      </c>
      <c r="C15" s="4" t="s">
        <v>3</v>
      </c>
      <c r="D15" s="4" t="s">
        <v>12</v>
      </c>
      <c r="E15" s="4">
        <v>2</v>
      </c>
      <c r="F15" s="4">
        <v>25000</v>
      </c>
      <c r="G15" s="4">
        <v>50000</v>
      </c>
      <c r="H15" s="4">
        <v>35000</v>
      </c>
      <c r="I15" s="4" t="s">
        <v>64</v>
      </c>
      <c r="J15" s="4" t="s">
        <v>22</v>
      </c>
      <c r="K15" s="4">
        <f t="shared" si="0"/>
        <v>15000</v>
      </c>
      <c r="L15" s="4">
        <f t="shared" si="1"/>
        <v>0.3</v>
      </c>
    </row>
    <row r="16" spans="1:12">
      <c r="A16" s="4" t="s">
        <v>65</v>
      </c>
      <c r="B16" s="4" t="s">
        <v>40</v>
      </c>
      <c r="C16" s="4" t="s">
        <v>5</v>
      </c>
      <c r="D16" s="4" t="s">
        <v>11</v>
      </c>
      <c r="E16" s="4">
        <v>1</v>
      </c>
      <c r="F16" s="4">
        <v>15000</v>
      </c>
      <c r="G16" s="4">
        <v>15000</v>
      </c>
      <c r="H16" s="4">
        <v>10000</v>
      </c>
      <c r="I16" s="4" t="s">
        <v>66</v>
      </c>
      <c r="J16" s="4" t="s">
        <v>26</v>
      </c>
      <c r="K16" s="4">
        <f t="shared" si="0"/>
        <v>5000</v>
      </c>
      <c r="L16" s="4">
        <f t="shared" si="1"/>
        <v>0.333333333333333</v>
      </c>
    </row>
    <row r="17" spans="1:12">
      <c r="A17" s="4" t="s">
        <v>67</v>
      </c>
      <c r="B17" s="4" t="s">
        <v>40</v>
      </c>
      <c r="C17" s="4" t="s">
        <v>7</v>
      </c>
      <c r="D17" s="4" t="s">
        <v>13</v>
      </c>
      <c r="E17" s="4">
        <v>12</v>
      </c>
      <c r="F17" s="4">
        <v>600</v>
      </c>
      <c r="G17" s="4">
        <v>7200</v>
      </c>
      <c r="H17" s="4">
        <v>4000</v>
      </c>
      <c r="I17" s="4" t="s">
        <v>68</v>
      </c>
      <c r="J17" s="4" t="s">
        <v>30</v>
      </c>
      <c r="K17" s="4">
        <f t="shared" si="0"/>
        <v>3200</v>
      </c>
      <c r="L17" s="4">
        <f t="shared" si="1"/>
        <v>0.444444444444444</v>
      </c>
    </row>
    <row r="18" spans="1:12">
      <c r="A18" s="4" t="s">
        <v>69</v>
      </c>
      <c r="B18" s="4" t="s">
        <v>40</v>
      </c>
      <c r="C18" s="4" t="s">
        <v>2</v>
      </c>
      <c r="D18" s="4" t="s">
        <v>12</v>
      </c>
      <c r="E18" s="4">
        <v>3</v>
      </c>
      <c r="F18" s="4">
        <v>50000</v>
      </c>
      <c r="G18" s="4">
        <v>150000</v>
      </c>
      <c r="H18" s="4">
        <v>105000</v>
      </c>
      <c r="I18" s="4" t="s">
        <v>19</v>
      </c>
      <c r="J18" s="4" t="s">
        <v>25</v>
      </c>
      <c r="K18" s="4">
        <f t="shared" si="0"/>
        <v>45000</v>
      </c>
      <c r="L18" s="4">
        <f t="shared" si="1"/>
        <v>0.3</v>
      </c>
    </row>
    <row r="19" spans="1:12">
      <c r="A19" s="4" t="s">
        <v>70</v>
      </c>
      <c r="B19" s="4" t="s">
        <v>40</v>
      </c>
      <c r="C19" s="4" t="s">
        <v>6</v>
      </c>
      <c r="D19" s="4" t="s">
        <v>12</v>
      </c>
      <c r="E19" s="4">
        <v>15</v>
      </c>
      <c r="F19" s="4">
        <v>1000</v>
      </c>
      <c r="G19" s="4">
        <v>15000</v>
      </c>
      <c r="H19" s="4">
        <v>9000</v>
      </c>
      <c r="I19" s="4" t="s">
        <v>71</v>
      </c>
      <c r="J19" s="4" t="s">
        <v>24</v>
      </c>
      <c r="K19" s="4">
        <f t="shared" si="0"/>
        <v>6000</v>
      </c>
      <c r="L19" s="4">
        <f t="shared" si="1"/>
        <v>0.4</v>
      </c>
    </row>
    <row r="20" spans="1:12">
      <c r="A20" s="4" t="s">
        <v>72</v>
      </c>
      <c r="B20" s="4" t="s">
        <v>40</v>
      </c>
      <c r="C20" s="4" t="s">
        <v>4</v>
      </c>
      <c r="D20" s="4" t="s">
        <v>11</v>
      </c>
      <c r="E20" s="4">
        <v>5</v>
      </c>
      <c r="F20" s="4">
        <v>8000</v>
      </c>
      <c r="G20" s="4">
        <v>40000</v>
      </c>
      <c r="H20" s="4">
        <v>25000</v>
      </c>
      <c r="I20" s="4" t="s">
        <v>73</v>
      </c>
      <c r="J20" s="4" t="s">
        <v>23</v>
      </c>
      <c r="K20" s="4">
        <f t="shared" si="0"/>
        <v>15000</v>
      </c>
      <c r="L20" s="4">
        <f t="shared" si="1"/>
        <v>0.375</v>
      </c>
    </row>
    <row r="21" spans="1:12">
      <c r="A21" s="4" t="s">
        <v>74</v>
      </c>
      <c r="B21" s="4" t="s">
        <v>40</v>
      </c>
      <c r="C21" s="4" t="s">
        <v>3</v>
      </c>
      <c r="D21" s="4" t="s">
        <v>12</v>
      </c>
      <c r="E21" s="4">
        <v>4</v>
      </c>
      <c r="F21" s="4">
        <v>25000</v>
      </c>
      <c r="G21" s="4">
        <v>100000</v>
      </c>
      <c r="H21" s="4">
        <v>70000</v>
      </c>
      <c r="I21" s="4" t="s">
        <v>17</v>
      </c>
      <c r="J21" s="4" t="s">
        <v>27</v>
      </c>
      <c r="K21" s="4">
        <f t="shared" si="0"/>
        <v>30000</v>
      </c>
      <c r="L21" s="4">
        <f t="shared" si="1"/>
        <v>0.3</v>
      </c>
    </row>
  </sheetData>
  <conditionalFormatting sqref="F2:F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{9fdbe31e-81ab-470a-8f70-51daeaa9366e}</x14:id>
        </ext>
      </extLst>
    </cfRule>
  </conditionalFormatting>
  <conditionalFormatting sqref="L2:L2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2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be31e-81ab-470a-8f70-51daeaa93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L22" sqref="L22"/>
    </sheetView>
  </sheetViews>
  <sheetFormatPr defaultColWidth="8.88888888888889" defaultRowHeight="14.4" outlineLevelRow="5" outlineLevelCol="3"/>
  <cols>
    <col min="1" max="1" width="19" customWidth="1"/>
    <col min="2" max="2" width="12.8888888888889"/>
  </cols>
  <sheetData>
    <row r="1" ht="35" customHeight="1" spans="1:4">
      <c r="A1" s="1" t="s">
        <v>75</v>
      </c>
      <c r="B1" s="1">
        <f>SUM(Ecommerce_Data!G2:G21)</f>
        <v>835200</v>
      </c>
      <c r="D1" s="2"/>
    </row>
    <row r="2" ht="27" customHeight="1" spans="1:4">
      <c r="A2" s="1" t="s">
        <v>76</v>
      </c>
      <c r="B2" s="1">
        <f>SUM(Ecommerce_Data!K2:K21)</f>
        <v>269400</v>
      </c>
    </row>
    <row r="3" ht="31" customHeight="1" spans="1:4">
      <c r="A3" s="1" t="s">
        <v>77</v>
      </c>
      <c r="B3" s="1">
        <f>AVERAGE(Ecommerce_Data!L2:L21)</f>
        <v>0.360694444444444</v>
      </c>
    </row>
    <row r="4" ht="25" customHeight="1" spans="1:4">
      <c r="A4" s="1" t="s">
        <v>78</v>
      </c>
      <c r="B4" s="1">
        <f>COUNTA(Ecommerce_Data!A2:A21)</f>
        <v>20</v>
      </c>
    </row>
    <row r="5" ht="26" customHeight="1" spans="1:4">
      <c r="A5" s="1" t="s">
        <v>79</v>
      </c>
      <c r="B5" s="1" t="s">
        <v>2</v>
      </c>
    </row>
    <row r="6" ht="34" customHeight="1" spans="1:4">
      <c r="A6" s="1" t="s">
        <v>80</v>
      </c>
      <c r="B6" s="1" t="s">
        <v>23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Ecommerce_Data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CD</cp:lastModifiedBy>
  <dcterms:created xsi:type="dcterms:W3CDTF">2026-05-17T11:55:00Z</dcterms:created>
  <dcterms:modified xsi:type="dcterms:W3CDTF">2026-05-18T10:49:28Z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F054C5D76A474218A79A43DBD1EA57C5_11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